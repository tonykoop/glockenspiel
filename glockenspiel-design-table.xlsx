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Glockenspi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Tony Koop</author>
  </authors>
  <commentList>
    <comment ref="B21" authorId="0" shapeId="0">
      <text>
        <t>Tony Koop:
Change this to reference D17-D20 to switch metals</t>
      </text>
    </comment>
    <comment ref="F25" authorId="0" shapeId="0">
      <text>
        <t>Tony Koop:
Node at 22.42% from end; drill hole here for cord</t>
      </text>
    </comment>
    <comment ref="F28" authorId="0" shapeId="0">
      <text>
        <t>Tony Koop:
Node at 22.42% from end; drill hole here for cord</t>
      </text>
    </comment>
    <comment ref="F31" authorId="0" shapeId="0">
      <text>
        <t>Tony Koop:
Node at 22.42% from end; drill hole here for cord</t>
      </text>
    </comment>
    <comment ref="F34" authorId="0" shapeId="0">
      <text>
        <t>Tony Koop:
Node at 22.42% from end; drill hole here for cord</t>
      </text>
    </comment>
    <comment ref="F37" authorId="0" shapeId="0">
      <text>
        <t>Tony Koop:
Node at 22.42% from end; drill hole here for cord</t>
      </text>
    </comment>
    <comment ref="F40" authorId="0" shapeId="0">
      <text>
        <t>Tony Koop:
Node at 22.42% from end; drill hole here for cord</t>
      </text>
    </comment>
    <comment ref="F43" authorId="0" shapeId="0">
      <text>
        <t>Tony Koop:
Node at 22.42% from end; drill hole here for cord</t>
      </text>
    </comment>
    <comment ref="F46" authorId="0" shapeId="0">
      <text>
        <t>Tony Koop:
Node at 22.42% from end; drill hole here for cord</t>
      </text>
    </comment>
    <comment ref="F49" authorId="0" shapeId="0">
      <text>
        <t>Tony Koop:
Node at 22.42% from end; drill hole here for cord</t>
      </text>
    </comment>
    <comment ref="B107" authorId="0" shapeId="0">
      <text>
        <t>Tony Koop:
Bar lengths + 0.5 in overcut per bar for tuning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3" topLeftCell="A35" activePane="bottomLeft" state="frozen"/>
      <selection pane="bottomLeft" activeCell="A1" sqref="A1"/>
    </sheetView>
  </sheetViews>
  <sheetFormatPr baseColWidth="8" defaultRowHeight="12.75"/>
  <cols>
    <col width="137.140625" customWidth="1" style="817" min="1" max="1"/>
    <col width="28.5703125" customWidth="1" style="817" min="2" max="2"/>
    <col width="19" customWidth="1" style="817" min="3" max="3"/>
    <col width="34.28515625" customWidth="1" style="817" min="4" max="4"/>
    <col width="38.140625" customWidth="1" style="817" min="5" max="5"/>
    <col width="22.85546875" customWidth="1" style="817" min="6" max="6"/>
    <col width="15.28515625" customWidth="1" style="817" min="7" max="9"/>
  </cols>
  <sheetData>
    <row r="1" ht="18" customHeight="1" s="817">
      <c r="A1" s="470" t="inlineStr">
        <is>
          <t>Glockenspiel / Metallophone — Free-Free Beam Bar Calculator</t>
        </is>
      </c>
    </row>
    <row r="2">
      <c r="A2" s="734" t="inlineStr">
        <is>
          <t>Rectangular metal bars on CNC-routed frame · f = K × t / L² · Nodes at 22.4% from each end · Same physics as Marimba (§1D)</t>
        </is>
      </c>
    </row>
    <row r="4" ht="15" customHeight="1" s="817">
      <c r="A4" s="735" t="inlineStr">
        <is>
          <t>DESIGN INPUTS</t>
        </is>
      </c>
      <c r="B4" s="736" t="n"/>
      <c r="C4" s="736" t="n"/>
      <c r="D4" s="736" t="n"/>
    </row>
    <row r="5">
      <c r="A5" t="inlineStr">
        <is>
          <t>Bar Material</t>
        </is>
      </c>
      <c r="B5" s="564" t="inlineStr">
        <is>
          <t>6061-T6 Aluminum</t>
        </is>
      </c>
      <c r="C5" t="inlineStr">
        <is>
          <t>Bright, bell-like, lightest, easiest to cut</t>
        </is>
      </c>
    </row>
    <row r="6">
      <c r="A6" t="inlineStr">
        <is>
          <t>Bar Thickness (in)</t>
        </is>
      </c>
      <c r="B6" s="596" t="n">
        <v>0.25</v>
      </c>
      <c r="C6" t="inlineStr">
        <is>
          <t>1/4 inch standard; thicker = higher pitch for same length</t>
        </is>
      </c>
    </row>
    <row r="7">
      <c r="A7" t="inlineStr">
        <is>
          <t>Bar Width (in)</t>
        </is>
      </c>
      <c r="B7" s="596" t="n">
        <v>1</v>
      </c>
      <c r="C7" t="inlineStr">
        <is>
          <t>Width affects volume/sustain but NOT pitch</t>
        </is>
      </c>
    </row>
    <row r="8">
      <c r="A8" t="inlineStr">
        <is>
          <t>Range</t>
        </is>
      </c>
      <c r="B8" s="564" t="inlineStr">
        <is>
          <t>C5 - C7</t>
        </is>
      </c>
      <c r="C8" t="inlineStr">
        <is>
          <t>2 octaves chromatic (25 bars)</t>
        </is>
      </c>
    </row>
    <row r="9">
      <c r="A9" t="inlineStr">
        <is>
          <t>Concert Pitch (Hz)</t>
        </is>
      </c>
      <c r="B9" s="737" t="n">
        <v>440</v>
      </c>
    </row>
    <row r="10">
      <c r="A10" t="inlineStr">
        <is>
          <t>Frame Material</t>
        </is>
      </c>
      <c r="B10" s="564" t="inlineStr">
        <is>
          <t>Black Walnut</t>
        </is>
      </c>
      <c r="C10" t="inlineStr">
        <is>
          <t>CNC-routed, for display and acoustic isolation</t>
        </is>
      </c>
    </row>
    <row r="11">
      <c r="A11" t="inlineStr">
        <is>
          <t>Bar Mounting</t>
        </is>
      </c>
      <c r="B11" s="564" t="inlineStr">
        <is>
          <t>Cord through node holes</t>
        </is>
      </c>
      <c r="C11" t="inlineStr">
        <is>
          <t>Drill at 22.4% from each end; rubber grommets</t>
        </is>
      </c>
    </row>
    <row r="12">
      <c r="A12" t="inlineStr">
        <is>
          <t>Layout</t>
        </is>
      </c>
      <c r="B12" s="564" t="inlineStr">
        <is>
          <t>Piano keyboard</t>
        </is>
      </c>
      <c r="C12" t="inlineStr">
        <is>
          <t>Naturals front row, sharps/flats back row (raised)</t>
        </is>
      </c>
    </row>
    <row r="14" ht="15" customHeight="1" s="817">
      <c r="A14" s="738" t="inlineStr">
        <is>
          <t>MATERIAL LIBRARY — Metal Bar K Constants (Free-Free Beam)</t>
        </is>
      </c>
      <c r="B14" s="739" t="n"/>
      <c r="C14" s="739" t="n"/>
      <c r="D14" s="739" t="n"/>
      <c r="E14" s="739" t="n"/>
      <c r="F14" s="739" t="n"/>
      <c r="G14" s="739" t="n"/>
    </row>
    <row r="15">
      <c r="A15" s="484" t="inlineStr">
        <is>
          <t>Material</t>
        </is>
      </c>
      <c r="B15" s="480" t="inlineStr">
        <is>
          <t>E (GPa)</t>
        </is>
      </c>
      <c r="C15" s="484" t="inlineStr">
        <is>
          <t>ρ (kg/m³)</t>
        </is>
      </c>
      <c r="D15" s="484" t="inlineStr">
        <is>
          <t>K (free-free)</t>
        </is>
      </c>
      <c r="E15" s="484" t="inlineStr">
        <is>
          <t>Tone Character</t>
        </is>
      </c>
      <c r="F15" s="484" t="inlineStr">
        <is>
          <t>Cut Method</t>
        </is>
      </c>
      <c r="G15" s="484" t="inlineStr">
        <is>
          <t>Cost</t>
        </is>
      </c>
    </row>
    <row r="16">
      <c r="A16" t="inlineStr">
        <is>
          <t>6061-T6 Aluminum</t>
        </is>
      </c>
      <c r="B16" t="n">
        <v>68.90000000000001</v>
      </c>
      <c r="C16" t="n">
        <v>2700</v>
      </c>
      <c r="D16" s="662" t="n">
        <v>204431</v>
      </c>
      <c r="E16" t="inlineStr">
        <is>
          <t>Bright, bell-like, long sustain</t>
        </is>
      </c>
      <c r="F16" t="inlineStr">
        <is>
          <t>Band saw, chop saw</t>
        </is>
      </c>
      <c r="G16" t="inlineStr">
        <is>
          <t>$</t>
        </is>
      </c>
    </row>
    <row r="17">
      <c r="A17" t="inlineStr">
        <is>
          <t>Brass (C260)</t>
        </is>
      </c>
      <c r="B17" t="n">
        <v>110</v>
      </c>
      <c r="C17" t="n">
        <v>8530</v>
      </c>
      <c r="D17" s="662" t="n">
        <v>145325</v>
      </c>
      <c r="E17" t="inlineStr">
        <is>
          <t>Warm, mellow, classic glock tone</t>
        </is>
      </c>
      <c r="F17" t="inlineStr">
        <is>
          <t>Band saw, hacksaw</t>
        </is>
      </c>
      <c r="G17" t="inlineStr">
        <is>
          <t>$$$</t>
        </is>
      </c>
    </row>
    <row r="18">
      <c r="A18" t="inlineStr">
        <is>
          <t>Steel (1018)</t>
        </is>
      </c>
      <c r="B18" t="n">
        <v>200</v>
      </c>
      <c r="C18" t="n">
        <v>7850</v>
      </c>
      <c r="D18" s="662" t="n">
        <v>204267</v>
      </c>
      <c r="E18" t="inlineStr">
        <is>
          <t>Harsh, metallic, very loud</t>
        </is>
      </c>
      <c r="F18" t="inlineStr">
        <is>
          <t>Chop saw, angle grinder</t>
        </is>
      </c>
      <c r="G18" t="inlineStr">
        <is>
          <t>$</t>
        </is>
      </c>
    </row>
    <row r="19">
      <c r="A19" t="inlineStr">
        <is>
          <t>304 Stainless Steel</t>
        </is>
      </c>
      <c r="B19" t="n">
        <v>193</v>
      </c>
      <c r="C19" t="n">
        <v>8000</v>
      </c>
      <c r="D19" s="662" t="n">
        <v>198770</v>
      </c>
      <c r="E19" t="inlineStr">
        <is>
          <t>Clean, modern, corrosion-resistant</t>
        </is>
      </c>
      <c r="F19" t="inlineStr">
        <is>
          <t>Chop saw, angle grinder</t>
        </is>
      </c>
      <c r="G19" t="inlineStr">
        <is>
          <t>$$</t>
        </is>
      </c>
    </row>
    <row r="20">
      <c r="A20" t="inlineStr">
        <is>
          <t>Phosphor Bronze</t>
        </is>
      </c>
      <c r="B20" t="n">
        <v>110</v>
      </c>
      <c r="C20" t="n">
        <v>8860</v>
      </c>
      <c r="D20" s="662" t="n">
        <v>142593</v>
      </c>
      <c r="E20" t="inlineStr">
        <is>
          <t>Rich, warm, excellent sustain</t>
        </is>
      </c>
      <c r="F20" t="inlineStr">
        <is>
          <t>Band saw</t>
        </is>
      </c>
      <c r="G20" t="inlineStr">
        <is>
          <t>$$$$</t>
        </is>
      </c>
    </row>
    <row r="21">
      <c r="A21" t="inlineStr">
        <is>
          <t>Selected K →</t>
        </is>
      </c>
      <c r="B21" s="769">
        <f>D16</f>
        <v/>
      </c>
    </row>
    <row r="23" ht="15" customHeight="1" s="817">
      <c r="A23" s="764" t="inlineStr">
        <is>
          <t>BAR CALCULATOR — 25 Chromatic Bars (C5–C7)</t>
        </is>
      </c>
      <c r="B23" s="765" t="n"/>
      <c r="C23" s="765" t="n"/>
      <c r="D23" s="765" t="n"/>
      <c r="E23" s="765" t="n"/>
      <c r="F23" s="765" t="n"/>
      <c r="G23" s="765" t="n"/>
      <c r="H23" s="765" t="n"/>
      <c r="I23" s="765" t="n"/>
    </row>
    <row r="24">
      <c r="A24" s="713" t="inlineStr">
        <is>
          <t>#</t>
        </is>
      </c>
      <c r="B24" s="713" t="inlineStr">
        <is>
          <t>Note</t>
        </is>
      </c>
      <c r="C24" s="713" t="inlineStr">
        <is>
          <t>MIDI</t>
        </is>
      </c>
      <c r="D24" s="713" t="inlineStr">
        <is>
          <t>Freq (Hz)</t>
        </is>
      </c>
      <c r="E24" s="713" t="inlineStr">
        <is>
          <t>Bar Length (in)</t>
        </is>
      </c>
      <c r="F24" s="713" t="inlineStr">
        <is>
          <t>Node Hole (in)</t>
        </is>
      </c>
      <c r="G24" s="713" t="inlineStr">
        <is>
          <t>Row</t>
        </is>
      </c>
      <c r="H24" s="713" t="inlineStr">
        <is>
          <t>Position</t>
        </is>
      </c>
      <c r="I24" s="713" t="inlineStr">
        <is>
          <t>Bar Width (in)</t>
        </is>
      </c>
    </row>
    <row r="25">
      <c r="A25" t="n">
        <v>1</v>
      </c>
      <c r="B25" t="inlineStr">
        <is>
          <t>C5</t>
        </is>
      </c>
      <c r="C25" t="n">
        <v>72</v>
      </c>
      <c r="D25" s="481">
        <f>$B$9*2^((C25-69)/12)</f>
        <v/>
      </c>
      <c r="E25" s="482">
        <f>SQRT($B$21*$B$6/D25)</f>
        <v/>
      </c>
      <c r="F25" s="482">
        <f>E25*0.2242</f>
        <v/>
      </c>
      <c r="G25" t="inlineStr">
        <is>
          <t>Front</t>
        </is>
      </c>
      <c r="H25" t="inlineStr">
        <is>
          <t>Natural</t>
        </is>
      </c>
      <c r="I25" s="482">
        <f>$B$7</f>
        <v/>
      </c>
    </row>
    <row r="26" ht="15" customHeight="1" s="817">
      <c r="A26" s="764" t="n">
        <v>2</v>
      </c>
      <c r="B26" s="765" t="inlineStr">
        <is>
          <t>C#5</t>
        </is>
      </c>
      <c r="C26" s="765" t="n">
        <v>73</v>
      </c>
      <c r="D26" s="765" t="n"/>
      <c r="E26" s="765" t="n"/>
      <c r="F26" s="765" t="n"/>
      <c r="G26" s="765" t="inlineStr">
        <is>
          <t>Back</t>
        </is>
      </c>
      <c r="H26" s="765" t="inlineStr">
        <is>
          <t>Sharp</t>
        </is>
      </c>
      <c r="I26" s="765" t="n"/>
    </row>
    <row r="27">
      <c r="A27" s="713" t="n">
        <v>3</v>
      </c>
      <c r="B27" s="713" t="inlineStr">
        <is>
          <t>D5</t>
        </is>
      </c>
      <c r="C27" s="713" t="n">
        <v>74</v>
      </c>
      <c r="D27" s="713" t="inlineStr">
        <is>
          <t>Freq (Hz)</t>
        </is>
      </c>
      <c r="E27" s="713" t="inlineStr">
        <is>
          <t>Bar Length (in)</t>
        </is>
      </c>
      <c r="F27" s="713" t="inlineStr">
        <is>
          <t>Node Hole (in)</t>
        </is>
      </c>
      <c r="G27" s="713" t="inlineStr">
        <is>
          <t>Front</t>
        </is>
      </c>
      <c r="H27" s="713" t="inlineStr">
        <is>
          <t>Natural</t>
        </is>
      </c>
      <c r="I27" s="713" t="inlineStr">
        <is>
          <t>Bar Width (in)</t>
        </is>
      </c>
    </row>
    <row r="28">
      <c r="A28" t="n">
        <v>4</v>
      </c>
      <c r="B28" t="inlineStr">
        <is>
          <t>D#5</t>
        </is>
      </c>
      <c r="C28" t="n">
        <v>75</v>
      </c>
      <c r="D28" s="481">
        <f>$B$9*2^((C28-69)/12)</f>
        <v/>
      </c>
      <c r="E28" s="482">
        <f>SQRT($B$21*$B$6/D28)</f>
        <v/>
      </c>
      <c r="F28" s="482">
        <f>E28*0.2242</f>
        <v/>
      </c>
      <c r="G28" t="inlineStr">
        <is>
          <t>Back</t>
        </is>
      </c>
      <c r="H28" t="inlineStr">
        <is>
          <t>Sharp</t>
        </is>
      </c>
      <c r="I28" s="482">
        <f>$B$7</f>
        <v/>
      </c>
    </row>
    <row r="29" ht="15" customHeight="1" s="817">
      <c r="A29" s="764" t="n">
        <v>5</v>
      </c>
      <c r="B29" s="765" t="inlineStr">
        <is>
          <t>E5</t>
        </is>
      </c>
      <c r="C29" s="765" t="n">
        <v>76</v>
      </c>
      <c r="D29" s="765" t="n"/>
      <c r="E29" s="765" t="n"/>
      <c r="F29" s="765" t="n"/>
      <c r="G29" s="765" t="inlineStr">
        <is>
          <t>Front</t>
        </is>
      </c>
      <c r="H29" s="765" t="inlineStr">
        <is>
          <t>Natural</t>
        </is>
      </c>
      <c r="I29" s="765" t="n"/>
    </row>
    <row r="30">
      <c r="A30" s="713" t="n">
        <v>6</v>
      </c>
      <c r="B30" s="713" t="inlineStr">
        <is>
          <t>F5</t>
        </is>
      </c>
      <c r="C30" s="713" t="n">
        <v>77</v>
      </c>
      <c r="D30" s="713" t="inlineStr">
        <is>
          <t>Freq (Hz)</t>
        </is>
      </c>
      <c r="E30" s="713" t="inlineStr">
        <is>
          <t>Bar Length (in)</t>
        </is>
      </c>
      <c r="F30" s="713" t="inlineStr">
        <is>
          <t>Node Hole (in)</t>
        </is>
      </c>
      <c r="G30" s="713" t="inlineStr">
        <is>
          <t>Front</t>
        </is>
      </c>
      <c r="H30" s="713" t="inlineStr">
        <is>
          <t>Natural</t>
        </is>
      </c>
      <c r="I30" s="713" t="inlineStr">
        <is>
          <t>Bar Width (in)</t>
        </is>
      </c>
    </row>
    <row r="31">
      <c r="A31" t="n">
        <v>7</v>
      </c>
      <c r="B31" t="inlineStr">
        <is>
          <t>F#5</t>
        </is>
      </c>
      <c r="C31" t="n">
        <v>78</v>
      </c>
      <c r="D31" s="481">
        <f>$B$9*2^((C31-69)/12)</f>
        <v/>
      </c>
      <c r="E31" s="482">
        <f>SQRT($B$21*$B$6/D31)</f>
        <v/>
      </c>
      <c r="F31" s="482">
        <f>E31*0.2242</f>
        <v/>
      </c>
      <c r="G31" t="inlineStr">
        <is>
          <t>Back</t>
        </is>
      </c>
      <c r="H31" t="inlineStr">
        <is>
          <t>Sharp</t>
        </is>
      </c>
      <c r="I31" s="482">
        <f>$B$7</f>
        <v/>
      </c>
    </row>
    <row r="32" ht="15" customHeight="1" s="817">
      <c r="A32" s="764" t="n">
        <v>8</v>
      </c>
      <c r="B32" s="765" t="inlineStr">
        <is>
          <t>G5</t>
        </is>
      </c>
      <c r="C32" s="765" t="n">
        <v>79</v>
      </c>
      <c r="D32" s="765" t="n"/>
      <c r="E32" s="765" t="n"/>
      <c r="F32" s="765" t="n"/>
      <c r="G32" s="765" t="inlineStr">
        <is>
          <t>Front</t>
        </is>
      </c>
      <c r="H32" s="765" t="inlineStr">
        <is>
          <t>Natural</t>
        </is>
      </c>
      <c r="I32" s="765" t="n"/>
    </row>
    <row r="33">
      <c r="A33" s="713" t="n">
        <v>9</v>
      </c>
      <c r="B33" s="713" t="inlineStr">
        <is>
          <t>G#5</t>
        </is>
      </c>
      <c r="C33" s="713" t="n">
        <v>80</v>
      </c>
      <c r="D33" s="713" t="inlineStr">
        <is>
          <t>Freq (Hz)</t>
        </is>
      </c>
      <c r="E33" s="713" t="inlineStr">
        <is>
          <t>Bar Length (in)</t>
        </is>
      </c>
      <c r="F33" s="713" t="inlineStr">
        <is>
          <t>Node Hole (in)</t>
        </is>
      </c>
      <c r="G33" s="713" t="inlineStr">
        <is>
          <t>Back</t>
        </is>
      </c>
      <c r="H33" s="713" t="inlineStr">
        <is>
          <t>Sharp</t>
        </is>
      </c>
      <c r="I33" s="713" t="inlineStr">
        <is>
          <t>Bar Width (in)</t>
        </is>
      </c>
    </row>
    <row r="34">
      <c r="A34" t="n">
        <v>10</v>
      </c>
      <c r="B34" t="inlineStr">
        <is>
          <t>A5</t>
        </is>
      </c>
      <c r="C34" t="n">
        <v>81</v>
      </c>
      <c r="D34" s="481">
        <f>$B$9*2^((C34-69)/12)</f>
        <v/>
      </c>
      <c r="E34" s="482">
        <f>SQRT($B$21*$B$6/D34)</f>
        <v/>
      </c>
      <c r="F34" s="482">
        <f>E34*0.2242</f>
        <v/>
      </c>
      <c r="G34" t="inlineStr">
        <is>
          <t>Front</t>
        </is>
      </c>
      <c r="H34" t="inlineStr">
        <is>
          <t>Natural</t>
        </is>
      </c>
      <c r="I34" s="482">
        <f>$B$7</f>
        <v/>
      </c>
    </row>
    <row r="35" ht="15" customHeight="1" s="817">
      <c r="A35" s="764" t="n">
        <v>11</v>
      </c>
      <c r="B35" s="765" t="inlineStr">
        <is>
          <t>A#5</t>
        </is>
      </c>
      <c r="C35" s="765" t="n">
        <v>82</v>
      </c>
      <c r="D35" s="765" t="n"/>
      <c r="E35" s="765" t="n"/>
      <c r="F35" s="765" t="n"/>
      <c r="G35" s="765" t="inlineStr">
        <is>
          <t>Back</t>
        </is>
      </c>
      <c r="H35" s="765" t="inlineStr">
        <is>
          <t>Sharp</t>
        </is>
      </c>
      <c r="I35" s="765" t="n"/>
    </row>
    <row r="36">
      <c r="A36" s="713" t="n">
        <v>12</v>
      </c>
      <c r="B36" s="713" t="inlineStr">
        <is>
          <t>B5</t>
        </is>
      </c>
      <c r="C36" s="713" t="n">
        <v>83</v>
      </c>
      <c r="D36" s="713" t="inlineStr">
        <is>
          <t>Freq (Hz)</t>
        </is>
      </c>
      <c r="E36" s="713" t="inlineStr">
        <is>
          <t>Bar Length (in)</t>
        </is>
      </c>
      <c r="F36" s="713" t="inlineStr">
        <is>
          <t>Node Hole (in)</t>
        </is>
      </c>
      <c r="G36" s="713" t="inlineStr">
        <is>
          <t>Front</t>
        </is>
      </c>
      <c r="H36" s="713" t="inlineStr">
        <is>
          <t>Natural</t>
        </is>
      </c>
      <c r="I36" s="713" t="inlineStr">
        <is>
          <t>Bar Width (in)</t>
        </is>
      </c>
    </row>
    <row r="37">
      <c r="A37" t="n">
        <v>13</v>
      </c>
      <c r="B37" t="inlineStr">
        <is>
          <t>C6</t>
        </is>
      </c>
      <c r="C37" t="n">
        <v>84</v>
      </c>
      <c r="D37" s="481">
        <f>$B$9*2^((C37-69)/12)</f>
        <v/>
      </c>
      <c r="E37" s="482">
        <f>SQRT($B$21*$B$6/D37)</f>
        <v/>
      </c>
      <c r="F37" s="482">
        <f>E37*0.2242</f>
        <v/>
      </c>
      <c r="G37" t="inlineStr">
        <is>
          <t>Front</t>
        </is>
      </c>
      <c r="H37" t="inlineStr">
        <is>
          <t>Natural</t>
        </is>
      </c>
      <c r="I37" s="482">
        <f>$B$7</f>
        <v/>
      </c>
    </row>
    <row r="38" ht="15" customHeight="1" s="817">
      <c r="A38" s="764" t="n">
        <v>14</v>
      </c>
      <c r="B38" s="765" t="inlineStr">
        <is>
          <t>C#6</t>
        </is>
      </c>
      <c r="C38" s="765" t="n">
        <v>85</v>
      </c>
      <c r="D38" s="765" t="n"/>
      <c r="E38" s="765" t="n"/>
      <c r="F38" s="765" t="n"/>
      <c r="G38" s="765" t="inlineStr">
        <is>
          <t>Back</t>
        </is>
      </c>
      <c r="H38" s="765" t="inlineStr">
        <is>
          <t>Sharp</t>
        </is>
      </c>
      <c r="I38" s="765" t="n"/>
    </row>
    <row r="39">
      <c r="A39" s="713" t="n">
        <v>15</v>
      </c>
      <c r="B39" s="713" t="inlineStr">
        <is>
          <t>D6</t>
        </is>
      </c>
      <c r="C39" s="713" t="n">
        <v>86</v>
      </c>
      <c r="D39" s="713" t="inlineStr">
        <is>
          <t>Freq (Hz)</t>
        </is>
      </c>
      <c r="E39" s="713" t="inlineStr">
        <is>
          <t>Bar Length (in)</t>
        </is>
      </c>
      <c r="F39" s="713" t="inlineStr">
        <is>
          <t>Node Hole (in)</t>
        </is>
      </c>
      <c r="G39" s="713" t="inlineStr">
        <is>
          <t>Front</t>
        </is>
      </c>
      <c r="H39" s="713" t="inlineStr">
        <is>
          <t>Natural</t>
        </is>
      </c>
      <c r="I39" s="713" t="inlineStr">
        <is>
          <t>Bar Width (in)</t>
        </is>
      </c>
    </row>
    <row r="40">
      <c r="A40" t="n">
        <v>16</v>
      </c>
      <c r="B40" t="inlineStr">
        <is>
          <t>D#6</t>
        </is>
      </c>
      <c r="C40" t="n">
        <v>87</v>
      </c>
      <c r="D40" s="481">
        <f>$B$9*2^((C40-69)/12)</f>
        <v/>
      </c>
      <c r="E40" s="482">
        <f>SQRT($B$21*$B$6/D40)</f>
        <v/>
      </c>
      <c r="F40" s="482">
        <f>E40*0.2242</f>
        <v/>
      </c>
      <c r="G40" t="inlineStr">
        <is>
          <t>Back</t>
        </is>
      </c>
      <c r="H40" t="inlineStr">
        <is>
          <t>Sharp</t>
        </is>
      </c>
      <c r="I40" s="482">
        <f>$B$7</f>
        <v/>
      </c>
    </row>
    <row r="41" ht="15" customHeight="1" s="817">
      <c r="A41" s="764" t="n">
        <v>17</v>
      </c>
      <c r="B41" s="765" t="inlineStr">
        <is>
          <t>E6</t>
        </is>
      </c>
      <c r="C41" s="765" t="n">
        <v>88</v>
      </c>
      <c r="D41" s="765" t="n"/>
      <c r="E41" s="765" t="n"/>
      <c r="F41" s="765" t="n"/>
      <c r="G41" s="765" t="inlineStr">
        <is>
          <t>Front</t>
        </is>
      </c>
      <c r="H41" s="765" t="inlineStr">
        <is>
          <t>Natural</t>
        </is>
      </c>
      <c r="I41" s="765" t="n"/>
    </row>
    <row r="42">
      <c r="A42" s="713" t="n">
        <v>18</v>
      </c>
      <c r="B42" s="713" t="inlineStr">
        <is>
          <t>F6</t>
        </is>
      </c>
      <c r="C42" s="713" t="n">
        <v>89</v>
      </c>
      <c r="D42" s="713" t="inlineStr">
        <is>
          <t>Freq (Hz)</t>
        </is>
      </c>
      <c r="E42" s="713" t="inlineStr">
        <is>
          <t>Bar Length (in)</t>
        </is>
      </c>
      <c r="F42" s="713" t="inlineStr">
        <is>
          <t>Node Hole (in)</t>
        </is>
      </c>
      <c r="G42" s="713" t="inlineStr">
        <is>
          <t>Front</t>
        </is>
      </c>
      <c r="H42" s="713" t="inlineStr">
        <is>
          <t>Natural</t>
        </is>
      </c>
      <c r="I42" s="713" t="inlineStr">
        <is>
          <t>Bar Width (in)</t>
        </is>
      </c>
    </row>
    <row r="43">
      <c r="A43" t="n">
        <v>19</v>
      </c>
      <c r="B43" t="inlineStr">
        <is>
          <t>F#6</t>
        </is>
      </c>
      <c r="C43" t="n">
        <v>90</v>
      </c>
      <c r="D43" s="481">
        <f>$B$9*2^((C43-69)/12)</f>
        <v/>
      </c>
      <c r="E43" s="482">
        <f>SQRT($B$21*$B$6/D43)</f>
        <v/>
      </c>
      <c r="F43" s="482">
        <f>E43*0.2242</f>
        <v/>
      </c>
      <c r="G43" t="inlineStr">
        <is>
          <t>Back</t>
        </is>
      </c>
      <c r="H43" t="inlineStr">
        <is>
          <t>Sharp</t>
        </is>
      </c>
      <c r="I43" s="482">
        <f>$B$7</f>
        <v/>
      </c>
    </row>
    <row r="44" ht="15" customHeight="1" s="817">
      <c r="A44" s="764" t="n">
        <v>20</v>
      </c>
      <c r="B44" s="765" t="inlineStr">
        <is>
          <t>G6</t>
        </is>
      </c>
      <c r="C44" s="765" t="n">
        <v>91</v>
      </c>
      <c r="D44" s="765" t="n"/>
      <c r="E44" s="765" t="n"/>
      <c r="F44" s="765" t="n"/>
      <c r="G44" s="765" t="inlineStr">
        <is>
          <t>Front</t>
        </is>
      </c>
      <c r="H44" s="765" t="inlineStr">
        <is>
          <t>Natural</t>
        </is>
      </c>
      <c r="I44" s="765" t="n"/>
    </row>
    <row r="45">
      <c r="A45" s="713" t="n">
        <v>21</v>
      </c>
      <c r="B45" s="713" t="inlineStr">
        <is>
          <t>G#6</t>
        </is>
      </c>
      <c r="C45" s="713" t="n">
        <v>92</v>
      </c>
      <c r="D45" s="713" t="inlineStr">
        <is>
          <t>Freq (Hz)</t>
        </is>
      </c>
      <c r="E45" s="713" t="inlineStr">
        <is>
          <t>Bar Length (in)</t>
        </is>
      </c>
      <c r="F45" s="713" t="inlineStr">
        <is>
          <t>Node Hole (in)</t>
        </is>
      </c>
      <c r="G45" s="713" t="inlineStr">
        <is>
          <t>Back</t>
        </is>
      </c>
      <c r="H45" s="713" t="inlineStr">
        <is>
          <t>Sharp</t>
        </is>
      </c>
      <c r="I45" s="713" t="inlineStr">
        <is>
          <t>Bar Width (in)</t>
        </is>
      </c>
    </row>
    <row r="46">
      <c r="A46" t="n">
        <v>22</v>
      </c>
      <c r="B46" t="inlineStr">
        <is>
          <t>A6</t>
        </is>
      </c>
      <c r="C46" t="n">
        <v>93</v>
      </c>
      <c r="D46" s="481">
        <f>$B$9*2^((C46-69)/12)</f>
        <v/>
      </c>
      <c r="E46" s="482">
        <f>SQRT($B$21*$B$6/D46)</f>
        <v/>
      </c>
      <c r="F46" s="482">
        <f>E46*0.2242</f>
        <v/>
      </c>
      <c r="G46" t="inlineStr">
        <is>
          <t>Front</t>
        </is>
      </c>
      <c r="H46" t="inlineStr">
        <is>
          <t>Natural</t>
        </is>
      </c>
      <c r="I46" s="482">
        <f>$B$7</f>
        <v/>
      </c>
    </row>
    <row r="47" ht="15" customHeight="1" s="817">
      <c r="A47" s="764" t="n">
        <v>23</v>
      </c>
      <c r="B47" s="765" t="inlineStr">
        <is>
          <t>A#6</t>
        </is>
      </c>
      <c r="C47" s="765" t="n">
        <v>94</v>
      </c>
      <c r="D47" s="765" t="n"/>
      <c r="E47" s="765" t="n"/>
      <c r="F47" s="765" t="n"/>
      <c r="G47" s="765" t="inlineStr">
        <is>
          <t>Back</t>
        </is>
      </c>
      <c r="H47" s="765" t="inlineStr">
        <is>
          <t>Sharp</t>
        </is>
      </c>
      <c r="I47" s="765" t="n"/>
    </row>
    <row r="48">
      <c r="A48" s="713" t="n">
        <v>24</v>
      </c>
      <c r="B48" s="713" t="inlineStr">
        <is>
          <t>B6</t>
        </is>
      </c>
      <c r="C48" s="713" t="n">
        <v>95</v>
      </c>
      <c r="D48" s="713" t="inlineStr">
        <is>
          <t>Freq (Hz)</t>
        </is>
      </c>
      <c r="E48" s="713" t="inlineStr">
        <is>
          <t>Bar Length (in)</t>
        </is>
      </c>
      <c r="F48" s="713" t="inlineStr">
        <is>
          <t>Node Hole (in)</t>
        </is>
      </c>
      <c r="G48" s="713" t="inlineStr">
        <is>
          <t>Front</t>
        </is>
      </c>
      <c r="H48" s="713" t="inlineStr">
        <is>
          <t>Natural</t>
        </is>
      </c>
      <c r="I48" s="713" t="inlineStr">
        <is>
          <t>Bar Width (in)</t>
        </is>
      </c>
    </row>
    <row r="49">
      <c r="A49" t="n">
        <v>25</v>
      </c>
      <c r="B49" t="inlineStr">
        <is>
          <t>C7</t>
        </is>
      </c>
      <c r="C49" t="n">
        <v>96</v>
      </c>
      <c r="D49" s="481">
        <f>$B$9*2^((C49-69)/12)</f>
        <v/>
      </c>
      <c r="E49" s="482">
        <f>SQRT($B$21*$B$6/D49)</f>
        <v/>
      </c>
      <c r="F49" s="482">
        <f>E49*0.2242</f>
        <v/>
      </c>
      <c r="G49" t="inlineStr">
        <is>
          <t>Front</t>
        </is>
      </c>
      <c r="H49" t="inlineStr">
        <is>
          <t>Natural</t>
        </is>
      </c>
      <c r="I49" s="482">
        <f>$B$7</f>
        <v/>
      </c>
    </row>
    <row r="51" ht="15" customHeight="1" s="817">
      <c r="A51" s="735" t="inlineStr">
        <is>
          <t>BILL OF MATERIALS</t>
        </is>
      </c>
      <c r="B51" s="736" t="n"/>
      <c r="C51" s="736" t="n"/>
      <c r="D51" s="736" t="n"/>
      <c r="E51" s="736" t="n"/>
      <c r="F51" s="736" t="n"/>
    </row>
    <row r="52">
      <c r="A52" s="475" t="inlineStr">
        <is>
          <t>#</t>
        </is>
      </c>
      <c r="B52" s="475" t="inlineStr">
        <is>
          <t>Item</t>
        </is>
      </c>
      <c r="C52" s="475" t="inlineStr">
        <is>
          <t>Qty</t>
        </is>
      </c>
      <c r="D52" s="475" t="inlineStr">
        <is>
          <t>Spec / Dimensions</t>
        </is>
      </c>
      <c r="E52" s="475" t="inlineStr">
        <is>
          <t>Supplier / Notes</t>
        </is>
      </c>
      <c r="F52" s="475" t="inlineStr">
        <is>
          <t>Est. Cost</t>
        </is>
      </c>
    </row>
    <row r="53">
      <c r="A53" t="n">
        <v>1</v>
      </c>
      <c r="B53" t="inlineStr">
        <is>
          <t>Aluminum bar stock</t>
        </is>
      </c>
      <c r="C53" t="inlineStr">
        <is>
          <t>~8 ft</t>
        </is>
      </c>
      <c r="D53" t="inlineStr">
        <is>
          <t>6061-T6, 1/4 x 1 inch flat bar</t>
        </is>
      </c>
      <c r="E53" t="inlineStr">
        <is>
          <t>Online Metals, McMaster-Carr, local metal supplier</t>
        </is>
      </c>
      <c r="F53" t="inlineStr">
        <is>
          <t>$25-40</t>
        </is>
      </c>
    </row>
    <row r="54">
      <c r="A54" t="n">
        <v>2</v>
      </c>
      <c r="B54" t="inlineStr">
        <is>
          <t>Frame wood (walnut/maple)</t>
        </is>
      </c>
      <c r="C54" t="inlineStr">
        <is>
          <t>~6 bf</t>
        </is>
      </c>
      <c r="D54" t="inlineStr">
        <is>
          <t>3/4 thick, for CNC-routed frame + pin rails</t>
        </is>
      </c>
      <c r="E54" t="inlineStr">
        <is>
          <t>Hardwood dealer</t>
        </is>
      </c>
      <c r="F54" t="inlineStr">
        <is>
          <t>$30-60</t>
        </is>
      </c>
    </row>
    <row r="55">
      <c r="A55" t="n">
        <v>3</v>
      </c>
      <c r="B55" t="inlineStr">
        <is>
          <t>Mounting cord (nylon/paracord)</t>
        </is>
      </c>
      <c r="C55" t="inlineStr">
        <is>
          <t>~10 ft</t>
        </is>
      </c>
      <c r="D55" t="inlineStr">
        <is>
          <t>550 paracord or braided nylon cord</t>
        </is>
      </c>
      <c r="E55" t="inlineStr">
        <is>
          <t>Thread through node holes</t>
        </is>
      </c>
      <c r="F55" t="inlineStr">
        <is>
          <t>$5-10</t>
        </is>
      </c>
    </row>
    <row r="56">
      <c r="A56" t="n">
        <v>4</v>
      </c>
      <c r="B56" t="inlineStr">
        <is>
          <t>Rubber grommets</t>
        </is>
      </c>
      <c r="C56" t="n">
        <v>50</v>
      </c>
      <c r="D56" t="inlineStr">
        <is>
          <t>3/16 ID to isolate bars from pins</t>
        </is>
      </c>
      <c r="E56" t="inlineStr">
        <is>
          <t>Prevent metal-on-metal buzz</t>
        </is>
      </c>
      <c r="F56" t="inlineStr">
        <is>
          <t>$5-10</t>
        </is>
      </c>
    </row>
    <row r="57">
      <c r="A57" t="n">
        <v>5</v>
      </c>
      <c r="B57" t="inlineStr">
        <is>
          <t>Steel support pins/rods</t>
        </is>
      </c>
      <c r="C57" t="n">
        <v>2</v>
      </c>
      <c r="D57" t="inlineStr">
        <is>
          <t>1/8 in stainless rod, length of frame</t>
        </is>
      </c>
      <c r="E57" t="inlineStr">
        <is>
          <t>Bars rest on pins through node holes</t>
        </is>
      </c>
      <c r="F57" t="inlineStr">
        <is>
          <t>$5-10</t>
        </is>
      </c>
    </row>
    <row r="58">
      <c r="A58" t="n">
        <v>6</v>
      </c>
      <c r="B58" t="inlineStr">
        <is>
          <t>Mallets (pair)</t>
        </is>
      </c>
      <c r="C58" t="n">
        <v>1</v>
      </c>
      <c r="D58" t="inlineStr">
        <is>
          <t>Brass or hard rubber head, 8-10 in handle</t>
        </is>
      </c>
      <c r="E58" t="inlineStr">
        <is>
          <t>Purchase or CNC-turn handles</t>
        </is>
      </c>
      <c r="F58" t="inlineStr">
        <is>
          <t>$10-25</t>
        </is>
      </c>
    </row>
    <row r="59">
      <c r="A59" t="n">
        <v>7</v>
      </c>
      <c r="B59" t="inlineStr">
        <is>
          <t>Chromatic tuner / strobe</t>
        </is>
      </c>
      <c r="C59" t="n">
        <v>1</v>
      </c>
      <c r="D59" t="inlineStr">
        <is>
          <t>Peterson StroboClip or app</t>
        </is>
      </c>
      <c r="E59" t="inlineStr">
        <is>
          <t>Must handle high frequencies (2 kHz+)</t>
        </is>
      </c>
      <c r="F59" t="inlineStr">
        <is>
          <t>$30-100</t>
        </is>
      </c>
    </row>
    <row r="60">
      <c r="A60" t="n">
        <v>8</v>
      </c>
      <c r="B60" t="inlineStr">
        <is>
          <t>Wood finish (oil/lacquer)</t>
        </is>
      </c>
      <c r="C60" t="n">
        <v>1</v>
      </c>
      <c r="D60" t="inlineStr">
        <is>
          <t>Tung oil, shellac, or spray lacquer</t>
        </is>
      </c>
      <c r="E60" t="inlineStr">
        <is>
          <t>For frame; bars can be left raw or clear-coated</t>
        </is>
      </c>
      <c r="F60" t="inlineStr">
        <is>
          <t>$10-20</t>
        </is>
      </c>
    </row>
    <row r="61">
      <c r="A61" t="n">
        <v>9</v>
      </c>
      <c r="B61" t="inlineStr">
        <is>
          <t>Rubber feet</t>
        </is>
      </c>
      <c r="C61" t="n">
        <v>4</v>
      </c>
      <c r="D61" t="inlineStr">
        <is>
          <t>Self-adhesive, 1/2 in</t>
        </is>
      </c>
      <c r="E61" t="inlineStr">
        <is>
          <t>Prevent frame from sliding</t>
        </is>
      </c>
      <c r="F61" t="inlineStr">
        <is>
          <t>$3-5</t>
        </is>
      </c>
    </row>
    <row r="62">
      <c r="B62" s="472" t="inlineStr">
        <is>
          <t>ESTIMATED TOTAL</t>
        </is>
      </c>
      <c r="F62" s="472" t="inlineStr">
        <is>
          <t>$123-280</t>
        </is>
      </c>
    </row>
    <row r="64" ht="15" customHeight="1" s="817">
      <c r="A64" s="747" t="inlineStr">
        <is>
          <t>BUILD METHOD</t>
        </is>
      </c>
      <c r="B64" s="748" t="n"/>
      <c r="C64" s="748" t="n"/>
      <c r="D64" s="748" t="n"/>
      <c r="E64" s="748" t="n"/>
      <c r="F64" s="748" t="n"/>
    </row>
    <row r="65">
      <c r="A65" s="768" t="inlineStr">
        <is>
          <t>#</t>
        </is>
      </c>
      <c r="B65" s="768" t="inlineStr">
        <is>
          <t>Phase</t>
        </is>
      </c>
      <c r="C65" s="768" t="inlineStr">
        <is>
          <t>Operation</t>
        </is>
      </c>
      <c r="D65" s="768" t="inlineStr">
        <is>
          <t>Tools</t>
        </is>
      </c>
      <c r="E65" s="768" t="inlineStr">
        <is>
          <t>Key Parameters</t>
        </is>
      </c>
    </row>
    <row r="66">
      <c r="A66" t="n">
        <v>1</v>
      </c>
      <c r="B66" t="inlineStr">
        <is>
          <t>Bar Prep</t>
        </is>
      </c>
      <c r="C66" t="inlineStr">
        <is>
          <t>Cut 25 bars from stock, +1/4 in overlong</t>
        </is>
      </c>
      <c r="D66" t="inlineStr">
        <is>
          <t>Chop saw with non-ferrous blade</t>
        </is>
      </c>
      <c r="E66" t="inlineStr">
        <is>
          <t>Use stop block for repeatability; cut longest first</t>
        </is>
      </c>
    </row>
    <row r="67">
      <c r="A67" t="n">
        <v>2</v>
      </c>
      <c r="B67" t="inlineStr">
        <is>
          <t>Bar Prep</t>
        </is>
      </c>
      <c r="C67" t="inlineStr">
        <is>
          <t>Deburr all cut ends; file smooth</t>
        </is>
      </c>
      <c r="D67" t="inlineStr">
        <is>
          <t>Metal file, sandpaper (220 grit)</t>
        </is>
      </c>
      <c r="E67" t="inlineStr">
        <is>
          <t>Clean edges reduce unwanted overtones</t>
        </is>
      </c>
    </row>
    <row r="68">
      <c r="A68" t="n">
        <v>3</v>
      </c>
      <c r="B68" t="inlineStr">
        <is>
          <t>Drill</t>
        </is>
      </c>
      <c r="C68" t="inlineStr">
        <is>
          <t>Drill node holes at 22.4% from each end</t>
        </is>
      </c>
      <c r="D68" t="inlineStr">
        <is>
          <t>Drill press, 3/16 in bit</t>
        </is>
      </c>
      <c r="E68" t="inlineStr">
        <is>
          <t>Use calculator column F for exact distance; clamp bar securely</t>
        </is>
      </c>
    </row>
    <row r="69">
      <c r="A69" t="n">
        <v>4</v>
      </c>
      <c r="B69" t="inlineStr">
        <is>
          <t>Rough Tune</t>
        </is>
      </c>
      <c r="C69" t="inlineStr">
        <is>
          <t>Check each bar with tuner; file end to raise pitch</t>
        </is>
      </c>
      <c r="D69" t="inlineStr">
        <is>
          <t>Chromatic tuner, metal file</t>
        </is>
      </c>
      <c r="E69" t="inlineStr">
        <is>
          <t>Cut long intentionally; can only shorten (raise pitch), never lengthen</t>
        </is>
      </c>
    </row>
    <row r="70">
      <c r="A70" t="n">
        <v>5</v>
      </c>
      <c r="B70" t="inlineStr">
        <is>
          <t>Fine Tune</t>
        </is>
      </c>
      <c r="C70" t="inlineStr">
        <is>
          <t>File in tiny increments until within +/-2 cents of target</t>
        </is>
      </c>
      <c r="D70" t="inlineStr">
        <is>
          <t>Fine file, strobe tuner</t>
        </is>
      </c>
      <c r="E70" t="inlineStr">
        <is>
          <t>Rest bar on fingers at node points while tuning</t>
        </is>
      </c>
    </row>
    <row r="71">
      <c r="A71" t="n">
        <v>6</v>
      </c>
      <c r="B71" t="inlineStr">
        <is>
          <t>Frame</t>
        </is>
      </c>
      <c r="C71" t="inlineStr">
        <is>
          <t>CNC-route frame from walnut: 2 rails + 2 side pieces</t>
        </is>
      </c>
      <c r="D71" t="inlineStr">
        <is>
          <t>ShopBot CNC, 1/4 in downcut</t>
        </is>
      </c>
      <c r="E71" t="inlineStr">
        <is>
          <t>Route pin channels, bar rest notches, optional CNC inlay on sides</t>
        </is>
      </c>
    </row>
    <row r="72">
      <c r="A72" t="n">
        <v>7</v>
      </c>
      <c r="B72" t="inlineStr">
        <is>
          <t>Frame</t>
        </is>
      </c>
      <c r="C72" t="inlineStr">
        <is>
          <t>Drill pin holes through frame sides at each end</t>
        </is>
      </c>
      <c r="D72" t="inlineStr">
        <is>
          <t>Drill press</t>
        </is>
      </c>
      <c r="E72" t="inlineStr">
        <is>
          <t>Two rows: front (naturals), back raised 3/4 in (sharps)</t>
        </is>
      </c>
    </row>
    <row r="73">
      <c r="A73" t="n">
        <v>8</v>
      </c>
      <c r="B73" t="inlineStr">
        <is>
          <t>Frame</t>
        </is>
      </c>
      <c r="C73" t="inlineStr">
        <is>
          <t>Sand and finish frame</t>
        </is>
      </c>
      <c r="D73" t="inlineStr">
        <is>
          <t>Drum sander, finish of choice</t>
        </is>
      </c>
      <c r="E73" t="inlineStr">
        <is>
          <t>Apply finish BEFORE mounting bars</t>
        </is>
      </c>
    </row>
    <row r="74">
      <c r="A74" t="n">
        <v>9</v>
      </c>
      <c r="B74" t="inlineStr">
        <is>
          <t>Assembly</t>
        </is>
      </c>
      <c r="C74" t="inlineStr">
        <is>
          <t>Thread support pins through frame; add grommets</t>
        </is>
      </c>
      <c r="D74" t="inlineStr">
        <is>
          <t>Stainless rod, rubber grommets</t>
        </is>
      </c>
      <c r="E74" t="inlineStr">
        <is>
          <t>Grommets isolate bars acoustically from frame</t>
        </is>
      </c>
    </row>
    <row r="75">
      <c r="A75" t="n">
        <v>10</v>
      </c>
      <c r="B75" t="inlineStr">
        <is>
          <t>Assembly</t>
        </is>
      </c>
      <c r="C75" t="inlineStr">
        <is>
          <t>Mount bars on pins through node holes</t>
        </is>
      </c>
      <c r="D75" t="inlineStr">
        <is>
          <t>Hand assembly</t>
        </is>
      </c>
      <c r="E75" t="inlineStr">
        <is>
          <t>Low C5 at left, high C7 at right; sharps behind naturals</t>
        </is>
      </c>
    </row>
    <row r="76">
      <c r="A76" t="n">
        <v>11</v>
      </c>
      <c r="B76" t="inlineStr">
        <is>
          <t>Final</t>
        </is>
      </c>
      <c r="C76" t="inlineStr">
        <is>
          <t>Final tuning check with bars mounted</t>
        </is>
      </c>
      <c r="D76" t="inlineStr">
        <is>
          <t>Strobe tuner</t>
        </is>
      </c>
      <c r="E76" t="inlineStr">
        <is>
          <t>Mounting can shift pitch slightly; verify all 25 bars</t>
        </is>
      </c>
    </row>
    <row r="77">
      <c r="A77" t="n">
        <v>12</v>
      </c>
      <c r="B77" t="inlineStr">
        <is>
          <t>Final</t>
        </is>
      </c>
      <c r="C77" t="inlineStr">
        <is>
          <t>Add rubber feet; make mallets if desired</t>
        </is>
      </c>
      <c r="D77" t="inlineStr">
        <is>
          <t>Lathe (optional), rubber feet</t>
        </is>
      </c>
      <c r="E77" t="inlineStr">
        <is>
          <t>Brass-headed mallets for bright tone; rubber for softer</t>
        </is>
      </c>
    </row>
    <row r="79" ht="15" customHeight="1" s="817">
      <c r="A79" s="751" t="inlineStr">
        <is>
          <t>DESIGN NOTES</t>
        </is>
      </c>
      <c r="B79" s="752" t="n"/>
      <c r="C79" s="752" t="n"/>
      <c r="D79" s="752" t="n"/>
      <c r="E79" s="752" t="n"/>
      <c r="F79" s="752" t="n"/>
    </row>
    <row r="80">
      <c r="A80" t="inlineStr">
        <is>
          <t>1. Same free-free beam physics as your Marimba sheet, but metal K constants (~200k) are ~8x higher than wood (~25k). Metal bars are shorter and brighter.</t>
        </is>
      </c>
    </row>
    <row r="81">
      <c r="A81" t="inlineStr">
        <is>
          <t>2. Width does NOT affect pitch (just like wood tongue drums). Width controls volume and sustain. Wider = louder, more sustain.</t>
        </is>
      </c>
    </row>
    <row r="82">
      <c r="A82" t="inlineStr">
        <is>
          <t>3. Node holes at 22.42% from each end are CRITICAL. Drilling elsewhere will kill sustain. This is where vibration amplitude is zero.</t>
        </is>
      </c>
    </row>
    <row r="83">
      <c r="A83" t="inlineStr">
        <is>
          <t>4. Always cut bars LONGER than calculated. You can file down to raise pitch, but you cannot add material back. Target +1/4 in overlong.</t>
        </is>
      </c>
    </row>
    <row r="84">
      <c r="A84" t="inlineStr">
        <is>
          <t>5. Aluminum is ideal for first build: cheap, easy to cut, bright tone. Brass gives a warmer, more traditional glockenspiel sound but costs 5-10x more.</t>
        </is>
      </c>
    </row>
    <row r="85">
      <c r="A85" t="inlineStr">
        <is>
          <t>6. CNC opportunity: Route decorative inlay into the wooden frame side panels. Broinwood-style walnut+maple contrast. The flat rectangular frame is perfect for it.</t>
        </is>
      </c>
    </row>
    <row r="86">
      <c r="A86" t="inlineStr">
        <is>
          <t>7. Art fair potential: A pentatonic subset (C-D-E-G-A, 10 bars over 2 octaves) is simpler to build and play. Everyone can make music on pentatonic — no wrong notes.</t>
        </is>
      </c>
    </row>
    <row r="87">
      <c r="A87" t="inlineStr">
        <is>
          <t>8. For a metallophone (deeper, marimba-like), use thicker bars (3/8-1/2 in) and add resonator tubes underneath (quarter-wave: L = 13552/(4*freq) inches).</t>
        </is>
      </c>
    </row>
    <row r="88">
      <c r="A88" t="inlineStr">
        <is>
          <t>9. Comparison to Marimba: Aluminum glock = 25 bars in ~8 ft of stock. Padauk marimba = 49 bars requiring individual arch undercuts. Glock is 10x easier.</t>
        </is>
      </c>
    </row>
    <row r="89">
      <c r="A89" t="inlineStr">
        <is>
          <t>10. The frame can also serve as a xylophone stand for your existing wood Marimba/Xylophone bars — design the pin spacing to be compatible.</t>
        </is>
      </c>
    </row>
    <row r="91" ht="15" customHeight="1" s="817">
      <c r="A91" s="743" t="inlineStr">
        <is>
          <t>ART FAIR PENTATONIC — 10-Bar "No Wrong Notes" Glockenspiel</t>
        </is>
      </c>
      <c r="B91" s="744" t="n"/>
      <c r="C91" s="744" t="n"/>
      <c r="D91" s="744" t="n"/>
      <c r="E91" s="744" t="n"/>
      <c r="F91" s="744" t="n"/>
      <c r="G91" s="744" t="n"/>
      <c r="H91" s="744" t="n"/>
      <c r="I91" s="744" t="n"/>
    </row>
    <row r="92">
      <c r="A92" s="734" t="inlineStr">
        <is>
          <t>C Major Pentatonic: C-D-E-G-A over 2 octaves. Every combination sounds good — perfect for kids, art fairs, and sound gardens.</t>
        </is>
      </c>
    </row>
    <row r="93">
      <c r="A93" s="486" t="inlineStr">
        <is>
          <t>#</t>
        </is>
      </c>
      <c r="B93" s="486" t="inlineStr">
        <is>
          <t>Note</t>
        </is>
      </c>
      <c r="C93" s="486" t="inlineStr">
        <is>
          <t>MIDI</t>
        </is>
      </c>
      <c r="D93" s="486" t="inlineStr">
        <is>
          <t>Freq (Hz)</t>
        </is>
      </c>
      <c r="E93" s="486" t="inlineStr">
        <is>
          <t>Bar Length (in)</t>
        </is>
      </c>
      <c r="F93" s="486" t="inlineStr">
        <is>
          <t>Node Hole (in)</t>
        </is>
      </c>
      <c r="G93" s="486" t="inlineStr">
        <is>
          <t>Bar Width (in)</t>
        </is>
      </c>
      <c r="H93" s="486" t="inlineStr">
        <is>
          <t>Row</t>
        </is>
      </c>
      <c r="I93" s="486" t="inlineStr">
        <is>
          <t>Stock Needed</t>
        </is>
      </c>
    </row>
    <row r="94">
      <c r="A94" t="n">
        <v>1</v>
      </c>
      <c r="B94" t="inlineStr">
        <is>
          <t>C5</t>
        </is>
      </c>
      <c r="C94" t="n">
        <v>72</v>
      </c>
      <c r="D94" s="481">
        <f>$B$9*2^((C94-69)/12)</f>
        <v/>
      </c>
      <c r="E94" s="482">
        <f>SQRT($B$21*$B$6/D94)</f>
        <v/>
      </c>
      <c r="F94" s="482">
        <f>E94*0.2242</f>
        <v/>
      </c>
      <c r="G94" s="482">
        <f>$B$7</f>
        <v/>
      </c>
      <c r="H94" t="inlineStr">
        <is>
          <t>Front</t>
        </is>
      </c>
      <c r="I94">
        <f>ROUND(E94+0.5,1)&amp;" in"</f>
        <v/>
      </c>
    </row>
    <row r="95">
      <c r="A95" t="n">
        <v>2</v>
      </c>
      <c r="B95" t="inlineStr">
        <is>
          <t>D5</t>
        </is>
      </c>
      <c r="C95" t="n">
        <v>74</v>
      </c>
      <c r="D95" s="481">
        <f>$B$9*2^((C95-69)/12)</f>
        <v/>
      </c>
      <c r="E95" s="482">
        <f>SQRT($B$21*$B$6/D95)</f>
        <v/>
      </c>
      <c r="F95" s="482">
        <f>E95*0.2242</f>
        <v/>
      </c>
      <c r="G95" s="482">
        <f>$B$7</f>
        <v/>
      </c>
      <c r="H95" t="inlineStr">
        <is>
          <t>Front</t>
        </is>
      </c>
      <c r="I95">
        <f>ROUND(E95+0.5,1)&amp;" in"</f>
        <v/>
      </c>
      <c r="J95" s="744" t="n"/>
      <c r="K95" s="744" t="n"/>
      <c r="L95" s="744" t="n"/>
    </row>
    <row r="96">
      <c r="A96" t="n">
        <v>3</v>
      </c>
      <c r="B96" t="inlineStr">
        <is>
          <t>E5</t>
        </is>
      </c>
      <c r="C96" t="n">
        <v>76</v>
      </c>
      <c r="D96" s="481">
        <f>$B$9*2^((C96-69)/12)</f>
        <v/>
      </c>
      <c r="E96" s="482">
        <f>SQRT($B$21*$B$6/D96)</f>
        <v/>
      </c>
      <c r="F96" s="482">
        <f>E96*0.2242</f>
        <v/>
      </c>
      <c r="G96" s="482">
        <f>$B$7</f>
        <v/>
      </c>
      <c r="H96" t="inlineStr">
        <is>
          <t>Front</t>
        </is>
      </c>
      <c r="I96">
        <f>ROUND(E96+0.5,1)&amp;" in"</f>
        <v/>
      </c>
    </row>
    <row r="97">
      <c r="A97" t="n">
        <v>4</v>
      </c>
      <c r="B97" t="inlineStr">
        <is>
          <t>G5</t>
        </is>
      </c>
      <c r="C97" t="n">
        <v>79</v>
      </c>
      <c r="D97" s="481">
        <f>$B$9*2^((C97-69)/12)</f>
        <v/>
      </c>
      <c r="E97" s="482">
        <f>SQRT($B$21*$B$6/D97)</f>
        <v/>
      </c>
      <c r="F97" s="482">
        <f>E97*0.2242</f>
        <v/>
      </c>
      <c r="G97" s="482">
        <f>$B$7</f>
        <v/>
      </c>
      <c r="H97" t="inlineStr">
        <is>
          <t>Front</t>
        </is>
      </c>
      <c r="I97">
        <f>ROUND(E97+0.5,1)&amp;" in"</f>
        <v/>
      </c>
      <c r="J97" s="486" t="inlineStr">
        <is>
          <t>Bar Width (in)</t>
        </is>
      </c>
      <c r="K97" s="486" t="inlineStr">
        <is>
          <t>Row</t>
        </is>
      </c>
      <c r="L97" s="486" t="inlineStr">
        <is>
          <t>Stock Needed</t>
        </is>
      </c>
    </row>
    <row r="98">
      <c r="A98" t="n">
        <v>5</v>
      </c>
      <c r="B98" t="inlineStr">
        <is>
          <t>A5</t>
        </is>
      </c>
      <c r="C98" t="n">
        <v>81</v>
      </c>
      <c r="D98" s="481">
        <f>$B$9*2^((C98-69)/12)</f>
        <v/>
      </c>
      <c r="E98" s="482">
        <f>SQRT($B$21*$B$6/D98)</f>
        <v/>
      </c>
      <c r="F98" s="482">
        <f>E98*0.2242</f>
        <v/>
      </c>
      <c r="G98" s="482">
        <f>$B$7</f>
        <v/>
      </c>
      <c r="H98" t="inlineStr">
        <is>
          <t>Front</t>
        </is>
      </c>
      <c r="I98">
        <f>ROUND(E98+0.5,1)&amp;" in"</f>
        <v/>
      </c>
      <c r="J98" s="482">
        <f>$B$6</f>
        <v/>
      </c>
      <c r="K98" t="inlineStr">
        <is>
          <t>Front</t>
        </is>
      </c>
      <c r="L98">
        <f>TEXT(H98+0.5,"0.0")&amp;" in"</f>
        <v/>
      </c>
    </row>
    <row r="99">
      <c r="A99" t="n">
        <v>6</v>
      </c>
      <c r="B99" t="inlineStr">
        <is>
          <t>C6</t>
        </is>
      </c>
      <c r="C99" t="n">
        <v>84</v>
      </c>
      <c r="D99" s="481">
        <f>$B$9*2^((C99-69)/12)</f>
        <v/>
      </c>
      <c r="E99" s="482">
        <f>SQRT($B$21*$B$6/D99)</f>
        <v/>
      </c>
      <c r="F99" s="482">
        <f>E99*0.2242</f>
        <v/>
      </c>
      <c r="G99" s="482">
        <f>$B$7</f>
        <v/>
      </c>
      <c r="H99" t="inlineStr">
        <is>
          <t>Front</t>
        </is>
      </c>
      <c r="I99">
        <f>ROUND(E99+0.5,1)&amp;" in"</f>
        <v/>
      </c>
    </row>
    <row r="100">
      <c r="A100" t="n">
        <v>7</v>
      </c>
      <c r="B100" t="inlineStr">
        <is>
          <t>D6</t>
        </is>
      </c>
      <c r="C100" t="n">
        <v>86</v>
      </c>
      <c r="D100" s="481">
        <f>$B$9*2^((C100-69)/12)</f>
        <v/>
      </c>
      <c r="E100" s="482">
        <f>SQRT($B$21*$B$6/D100)</f>
        <v/>
      </c>
      <c r="F100" s="482">
        <f>E100*0.2242</f>
        <v/>
      </c>
      <c r="G100" s="482">
        <f>$B$7</f>
        <v/>
      </c>
      <c r="H100" t="inlineStr">
        <is>
          <t>Front</t>
        </is>
      </c>
      <c r="I100">
        <f>ROUND(E100+0.5,1)&amp;" in"</f>
        <v/>
      </c>
    </row>
    <row r="101">
      <c r="A101" t="n">
        <v>8</v>
      </c>
      <c r="B101" t="inlineStr">
        <is>
          <t>E6</t>
        </is>
      </c>
      <c r="C101" t="n">
        <v>88</v>
      </c>
      <c r="D101" s="481">
        <f>$B$9*2^((C101-69)/12)</f>
        <v/>
      </c>
      <c r="E101" s="482">
        <f>SQRT($B$21*$B$6/D101)</f>
        <v/>
      </c>
      <c r="F101" s="482">
        <f>E101*0.2242</f>
        <v/>
      </c>
      <c r="G101" s="482">
        <f>$B$7</f>
        <v/>
      </c>
      <c r="H101" t="inlineStr">
        <is>
          <t>Front</t>
        </is>
      </c>
      <c r="I101">
        <f>ROUND(E101+0.5,1)&amp;" in"</f>
        <v/>
      </c>
    </row>
    <row r="102">
      <c r="A102" t="n">
        <v>9</v>
      </c>
      <c r="B102" t="inlineStr">
        <is>
          <t>G6</t>
        </is>
      </c>
      <c r="C102" t="n">
        <v>91</v>
      </c>
      <c r="D102" s="481">
        <f>$B$9*2^((C102-69)/12)</f>
        <v/>
      </c>
      <c r="E102" s="482">
        <f>SQRT($B$21*$B$6/D102)</f>
        <v/>
      </c>
      <c r="F102" s="482">
        <f>E102*0.2242</f>
        <v/>
      </c>
      <c r="G102" s="482">
        <f>$B$7</f>
        <v/>
      </c>
      <c r="H102" t="inlineStr">
        <is>
          <t>Front</t>
        </is>
      </c>
      <c r="I102">
        <f>ROUND(E102+0.5,1)&amp;" in"</f>
        <v/>
      </c>
    </row>
    <row r="103">
      <c r="A103" t="n">
        <v>10</v>
      </c>
      <c r="B103" t="inlineStr">
        <is>
          <t>A6</t>
        </is>
      </c>
      <c r="C103" t="n">
        <v>93</v>
      </c>
      <c r="D103" s="481">
        <f>$B$9*2^((C103-69)/12)</f>
        <v/>
      </c>
      <c r="E103" s="482">
        <f>SQRT($B$21*$B$6/D103)</f>
        <v/>
      </c>
      <c r="F103" s="482">
        <f>E103*0.2242</f>
        <v/>
      </c>
      <c r="G103" s="482">
        <f>$B$7</f>
        <v/>
      </c>
      <c r="H103" t="inlineStr">
        <is>
          <t>Front</t>
        </is>
      </c>
      <c r="I103">
        <f>ROUND(E103+0.5,1)&amp;" in"</f>
        <v/>
      </c>
    </row>
    <row r="104">
      <c r="D104" t="n">
        <v>7</v>
      </c>
      <c r="E104" t="inlineStr">
        <is>
          <t>D6</t>
        </is>
      </c>
      <c r="F104" t="n">
        <v>86</v>
      </c>
    </row>
    <row r="105">
      <c r="A105" s="486" t="inlineStr">
        <is>
          <t>PENTATONIC SUMMARY</t>
        </is>
      </c>
      <c r="D105" t="n">
        <v>8</v>
      </c>
      <c r="E105" t="inlineStr">
        <is>
          <t>E6</t>
        </is>
      </c>
      <c r="F105" t="n">
        <v>88</v>
      </c>
    </row>
    <row r="106">
      <c r="A106" t="inlineStr">
        <is>
          <t>Total bars</t>
        </is>
      </c>
      <c r="B106" t="n">
        <v>10</v>
      </c>
      <c r="D106" t="n">
        <v>9</v>
      </c>
      <c r="E106" t="inlineStr">
        <is>
          <t>G6</t>
        </is>
      </c>
      <c r="F106" t="n">
        <v>91</v>
      </c>
    </row>
    <row r="107">
      <c r="A107" t="inlineStr">
        <is>
          <t>Total stock needed (in)</t>
        </is>
      </c>
      <c r="B107" s="481">
        <f>SUM(E94:E103)+10*0.5</f>
        <v/>
      </c>
      <c r="C107">
        <f>ROUND(B107/12,1)&amp;" ft"</f>
        <v/>
      </c>
      <c r="D107" t="n">
        <v>10</v>
      </c>
      <c r="E107" t="inlineStr">
        <is>
          <t>A6</t>
        </is>
      </c>
      <c r="F107" t="n">
        <v>93</v>
      </c>
    </row>
    <row r="108">
      <c r="A108" t="inlineStr">
        <is>
          <t>Longest bar (C5)</t>
        </is>
      </c>
      <c r="B108" s="776">
        <f>MAX(E94:E103)</f>
        <v/>
      </c>
    </row>
    <row r="109">
      <c r="A109" t="inlineStr">
        <is>
          <t>Shortest bar (A6)</t>
        </is>
      </c>
      <c r="B109" s="776">
        <f>MIN(E94:E103)</f>
        <v/>
      </c>
    </row>
    <row r="110">
      <c r="A110" t="inlineStr">
        <is>
          <t>Frame length needed</t>
        </is>
      </c>
      <c r="B110" s="777">
        <f>10*($B$7+0.25)+2</f>
        <v/>
      </c>
      <c r="C110" t="inlineStr">
        <is>
          <t>← bars + 1/4" gap between + 1" margin each end</t>
        </is>
      </c>
    </row>
    <row r="112" ht="15" customHeight="1" s="817">
      <c r="A112" s="751" t="inlineStr">
        <is>
          <t>ART FAIR PRODUCT NOTES</t>
        </is>
      </c>
      <c r="B112" s="752" t="n"/>
      <c r="C112" s="752" t="n"/>
      <c r="D112" s="752" t="n"/>
      <c r="E112" s="752" t="n"/>
    </row>
    <row r="113">
      <c r="A113" t="inlineStr">
        <is>
          <t>1. NO WRONG NOTES — every pair of bars in C pentatonic sounds consonant. Kids, adults, and non-musicians all make beautiful music instantly.</t>
        </is>
      </c>
    </row>
    <row r="114">
      <c r="A114" t="inlineStr">
        <is>
          <t>2. PRICING: A 10-bar pentatonic with CNC walnut frame + rubber mallet pair sells for $85-$150 at art/craft fairs. Material cost ~$40-60.</t>
        </is>
      </c>
    </row>
    <row r="115">
      <c r="A115" t="inlineStr">
        <is>
          <t>3. FRAME ARTWORK: Use Broinwood-style CNC inlay on the frame sides. Walnut frame + maple inlay logo/pattern. Laser-engrave your maker's mark.</t>
        </is>
      </c>
    </row>
    <row r="116">
      <c r="A116" t="inlineStr">
        <is>
          <t>4. SCALE VARIANTS: Offer C Major Pentatonic (bright), D Minor Pentatonic (warm/bluesy), and A Minor Pentatonic (mellow). Same 10-bar count, different note selection.</t>
        </is>
      </c>
    </row>
    <row r="117">
      <c r="A117" t="inlineStr">
        <is>
          <t>5. MALLETS: Include a pair of rubber-tipped mallets. Wooden dowel + rubber ball end. CNC-turn the handles for a premium feel. Costs &lt;$5/pair.</t>
        </is>
      </c>
    </row>
    <row r="118">
      <c r="A118" t="inlineStr">
        <is>
          <t>6. DISPLAY: Build a tiered display stand that holds 3-4 glockenspiels at playing height. Customers play them = instant attraction = sales.</t>
        </is>
      </c>
    </row>
    <row r="119">
      <c r="A119" t="inlineStr">
        <is>
          <t>7. UPSELL: Pentatonic → Full Chromatic. Customer buys the 10-bar at the fair, orders the 25-bar from your website. The bars are the same stock.</t>
        </is>
      </c>
    </row>
    <row r="120">
      <c r="A120" t="inlineStr">
        <is>
          <t>8. SOUND GARDEN: A large outdoor version with thicker aluminum bars (3/8") on a weatherproof CNC cedar frame. Permanent installation at schools/parks.</t>
        </is>
      </c>
    </row>
    <row r="121">
      <c r="A121" s="472" t="inlineStr">
        <is>
          <t>9. ALTERNATIVE PENTATONIC SCALES:</t>
        </is>
      </c>
    </row>
    <row r="122">
      <c r="A122" t="inlineStr">
        <is>
          <t xml:space="preserve">   C Major Pent: C-D-E-G-A (bright, happy) — MIDI: 72,74,76,79,81 / 84,86,88,91,93</t>
        </is>
      </c>
    </row>
    <row r="123">
      <c r="A123" t="inlineStr">
        <is>
          <t xml:space="preserve">   D Minor Pent: D-F-G-A-C (warm, bluesy) — MIDI: 74,77,79,81,84 / 86,89,91,93,96</t>
        </is>
      </c>
    </row>
    <row r="124">
      <c r="A124" t="inlineStr">
        <is>
          <t xml:space="preserve">   A Minor Pent: A-C-D-E-G (mellow, meditative) — MIDI: 69,72,74,76,79 / 81,84,86,88,91</t>
        </is>
      </c>
    </row>
    <row r="125">
      <c r="A125" t="inlineStr">
        <is>
          <t xml:space="preserve">   G Major Pent: G-A-B-D-E (folk, Celtic feel) — MIDI: 79,81,83,86,88 / 91,93,95,98,100</t>
        </is>
      </c>
    </row>
    <row r="126">
      <c r="A126" t="inlineStr">
        <is>
          <t>10. To switch scales: just change the MIDI numbers in C94:C103. All lengths, node holes, and stock estimates update automatically.</t>
        </is>
      </c>
    </row>
    <row r="129" ht="18" customHeight="1" s="817">
      <c r="A129" s="802" t="inlineStr">
        <is>
          <t>WOLFRAM CLOUD NOTEBOOK SPEC — GLOCKENSPIEL</t>
        </is>
      </c>
    </row>
    <row r="130">
      <c r="A130" s="734" t="inlineStr">
        <is>
          <t>Free-free metal bars, no arch, hard mallets — bright, bell-like, 2 octaves higher than xylophone.</t>
        </is>
      </c>
    </row>
    <row r="132">
      <c r="A132" s="609" t="inlineStr">
        <is>
          <t>§1 — Origin &amp; Etymology</t>
        </is>
      </c>
    </row>
    <row r="133">
      <c r="A133" t="inlineStr">
        <is>
          <t>Origin: derived from sets of small bells (Glocken=bells in German); modern bar form from 18th–19th c. military bands. Steel bars replaced bell sets for portability.</t>
        </is>
      </c>
    </row>
    <row r="134">
      <c r="A134" s="759" t="inlineStr">
        <is>
          <t>Glockenspiel' German 'bell play'. UK/orchestral term: 'bells' (in some scores); marching: 'bell lyre' or 'orchestra bells'.</t>
        </is>
      </c>
    </row>
    <row r="135">
      <c r="A135" t="inlineStr">
        <is>
          <t>Wolfram items: TimelinePlot[{18th c. bell sets, 1819 Berlioz uses orchestra bells, modern}].</t>
        </is>
      </c>
    </row>
    <row r="137">
      <c r="A137" s="609" t="inlineStr">
        <is>
          <t>§2 — Physics</t>
        </is>
      </c>
    </row>
    <row r="138">
      <c r="A138" t="inlineStr">
        <is>
          <t>Free-free beam, NO arch (like xylophone but metal). Steel/aluminum bars.</t>
        </is>
      </c>
    </row>
    <row r="139">
      <c r="A139" t="inlineStr">
        <is>
          <t>Mode 1: f = K·t/L², K_steel ~6× K_wood → bars much shorter than xylophone for same pitch.</t>
        </is>
      </c>
    </row>
    <row r="140">
      <c r="A140" t="inlineStr">
        <is>
          <t>Resonators rare on glockenspiel (small bars, dry tone is desired).</t>
        </is>
      </c>
    </row>
    <row r="141">
      <c r="A141" t="inlineStr">
        <is>
          <t>Wolfram functions: NDEigensystem free-free metal beam; Periodogram for partial verification.</t>
        </is>
      </c>
    </row>
    <row r="143">
      <c r="A143" s="609" t="inlineStr">
        <is>
          <t>§3 — Geometry &amp; Materials</t>
        </is>
      </c>
    </row>
    <row r="144">
      <c r="A144" t="inlineStr">
        <is>
          <t>Sheet has 5 metal K constants: steel, aluminum, brass, possibly bronze. Bars 4–12" long × 0.5–1" wide × 0.2–0.4" thick.</t>
        </is>
      </c>
    </row>
    <row r="145">
      <c r="A145" t="inlineStr">
        <is>
          <t>25 bars chromatic C5–C7 (this sheet's spec). Walnut frame (CNC). Hard rubber/lexan/brass mallets.</t>
        </is>
      </c>
    </row>
    <row r="146">
      <c r="A146" t="inlineStr">
        <is>
          <t>Wolfram items: Manipulate metal + dims → frequency; visualize bar layout in walnut frame.</t>
        </is>
      </c>
    </row>
    <row r="148">
      <c r="A148" s="609" t="inlineStr">
        <is>
          <t>§4 — Animations</t>
        </is>
      </c>
    </row>
    <row r="149">
      <c r="A149" t="inlineStr">
        <is>
          <t>Mode-1 free-free Animate; mallet impact + decay envelope.</t>
        </is>
      </c>
    </row>
    <row r="150">
      <c r="A150" t="inlineStr">
        <is>
          <t>Material comparison: steel vs aluminum vs brass for same dims → different f.</t>
        </is>
      </c>
    </row>
    <row r="152">
      <c r="A152" s="609" t="inlineStr">
        <is>
          <t>§5 — Executable Cells</t>
        </is>
      </c>
    </row>
    <row r="153">
      <c r="A153" t="inlineStr">
        <is>
          <t>kMetal[E_,ρ_]:=(4.730^2/(2 π)) Sqrt[E/(12 ρ)] / 0.0254</t>
        </is>
      </c>
    </row>
    <row r="154">
      <c r="A154" t="inlineStr">
        <is>
          <t>kSteel = kMetal[200 10^9, 7850]</t>
        </is>
      </c>
    </row>
    <row r="155">
      <c r="A155" t="inlineStr">
        <is>
          <t>kAlum = kMetal[70 10^9, 2700]</t>
        </is>
      </c>
    </row>
    <row r="156">
      <c r="A156" t="inlineStr">
        <is>
          <t>lBar[f_,t_,K_]:=Sqrt[K t / f]</t>
        </is>
      </c>
    </row>
    <row r="158">
      <c r="A158" s="609" t="inlineStr">
        <is>
          <t>§6 — Wolfram Functions</t>
        </is>
      </c>
    </row>
    <row r="159">
      <c r="A159" t="inlineStr">
        <is>
          <t>NDEigensystem, Manipulate, Periodogram, CloudDeploy, FormFunction, APIFunction.</t>
        </is>
      </c>
    </row>
    <row r="161" ht="18" customHeight="1" s="817">
      <c r="A161" s="807" t="inlineStr">
        <is>
          <t>WOLFRAM EXPLORATIONS — GLOCKENSPIEL</t>
        </is>
      </c>
    </row>
    <row r="162">
      <c r="A162" s="734" t="inlineStr">
        <is>
          <t>Roadmap-inspired notebook ideas mapped to this instrument.</t>
        </is>
      </c>
    </row>
    <row r="164">
      <c r="A164" s="808" t="inlineStr">
        <is>
          <t>Material comparison</t>
        </is>
      </c>
    </row>
    <row r="165">
      <c r="A165" s="811" t="inlineStr">
        <is>
          <t>→ Material Science Scatter Plot (roadmap: filed as #37)</t>
        </is>
      </c>
    </row>
    <row r="166">
      <c r="A166" t="inlineStr">
        <is>
          <t>Steel vs aluminum vs brass vs bronze on E vs ρ axes; sized by K. Identify the bar material that gives best brightness-to-weight ratio for a marching glockenspiel.</t>
        </is>
      </c>
    </row>
    <row r="168">
      <c r="A168" s="808" t="inlineStr">
        <is>
          <t>Engineering</t>
        </is>
      </c>
    </row>
    <row r="169">
      <c r="A169" s="811" t="inlineStr">
        <is>
          <t>→ Tolerance Stack-Up (roadmap)</t>
        </is>
      </c>
    </row>
    <row r="170">
      <c r="A170" t="inlineStr">
        <is>
          <t>CNC-cut bar length tolerance ±σ → cents error per note. With ~10% K_metal variability, ±5-cents requires what mfg tolerance?</t>
        </is>
      </c>
    </row>
    <row r="171">
      <c r="A171" t="inlineStr">
        <is>
          <t>Wood Grain effect doesn't apply to metal — swap for grain structure / heat-treat consistency analysis.</t>
        </is>
      </c>
    </row>
    <row r="173">
      <c r="A173" s="808" t="inlineStr">
        <is>
          <t>Sound</t>
        </is>
      </c>
    </row>
    <row r="174">
      <c r="A174" t="inlineStr">
        <is>
          <t>Synthesize chromatic C5–C7 with hard-mallet attack; pentatonic art-fair playground variant.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2026-05-02T18:58:00Z</dcterms:modified>
  <cp:lastModifiedBy>Tony Koop</cp:lastModifiedBy>
</cp:coreProperties>
</file>